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39B21C8-4FBF-46C2-94CD-36C26CD40778}" xr6:coauthVersionLast="47" xr6:coauthVersionMax="47" xr10:uidLastSave="{00000000-0000-0000-0000-000000000000}"/>
  <bookViews>
    <workbookView xWindow="-108" yWindow="-108" windowWidth="23256" windowHeight="12456" xr2:uid="{BCA4BBA6-8EDD-5C44-8C44-1683363AE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8" i="1"/>
  <c r="N9" i="1"/>
  <c r="N2" i="1"/>
  <c r="M3" i="1"/>
  <c r="M4" i="1"/>
  <c r="M5" i="1"/>
  <c r="M6" i="1"/>
  <c r="M7" i="1"/>
  <c r="M8" i="1"/>
  <c r="M9" i="1"/>
  <c r="M2" i="1"/>
  <c r="K6" i="1"/>
  <c r="K7" i="1"/>
  <c r="K8" i="1"/>
  <c r="I9" i="1"/>
  <c r="K9" i="1" s="1"/>
  <c r="I8" i="1"/>
  <c r="I7" i="1"/>
  <c r="N7" i="1" s="1"/>
  <c r="I6" i="1"/>
  <c r="I2" i="1"/>
  <c r="K2" i="1" s="1"/>
  <c r="I4" i="1"/>
  <c r="K4" i="1" s="1"/>
  <c r="I5" i="1" l="1"/>
  <c r="K5" i="1" s="1"/>
  <c r="I3" i="1"/>
  <c r="K3" i="1" s="1"/>
</calcChain>
</file>

<file path=xl/sharedStrings.xml><?xml version="1.0" encoding="utf-8"?>
<sst xmlns="http://schemas.openxmlformats.org/spreadsheetml/2006/main" count="31" uniqueCount="26">
  <si>
    <t>MX2Y3</t>
  </si>
  <si>
    <t>Ноутбук Apple MacBook Pro 16" 14-Core M4 Pro / 48GB / 512GB SSD / 20-Core M4 Pro GPU - Space Black p/n MX2Y3</t>
  </si>
  <si>
    <t>CTO</t>
  </si>
  <si>
    <t>Ноутбук Apple MacBook Pro 16" 14-Core M4 Pro / 48GB / 1TB SSD / 20-Core M4 Pro GPU - Silver</t>
  </si>
  <si>
    <t>MC654</t>
  </si>
  <si>
    <t>Ноутбук Apple MacBook Air 13" 10-Core M4 / 24GB / 512GB SSD / 10-Core M4 GPU - Silver p/n MC654</t>
  </si>
  <si>
    <t>MU973</t>
  </si>
  <si>
    <t>Системный блок Apple Mac Studio M3 Ultra 28xCPU 60xGPU 32xNE / 96GB / 1TB p/n MU973</t>
  </si>
  <si>
    <t>PN</t>
  </si>
  <si>
    <t>DESCRIPTION</t>
  </si>
  <si>
    <t>QTY</t>
  </si>
  <si>
    <t>ALP</t>
  </si>
  <si>
    <t>EXW IN USD</t>
  </si>
  <si>
    <t>LOG</t>
  </si>
  <si>
    <t>CPT MSK USD</t>
  </si>
  <si>
    <t>EX RATE</t>
  </si>
  <si>
    <t>CPT MSK INR</t>
  </si>
  <si>
    <t>MX2X3, MX2T3</t>
  </si>
  <si>
    <t>Ноутбук Apple MacBook Pro 16 M4 Pro 14xCPU 20xGPU / 24GB / 512GB - Space Black MX2X3*, Silver MX2T3*</t>
  </si>
  <si>
    <t>Ноутбук Apple MacBook Pro 14 M4 Max 16xCPU 40xGPU / 64GB / 1TB - Space Black Z1FE*, Silver Z1FB*</t>
  </si>
  <si>
    <t>Ноутбук Apple MacBook Pro 16 M4 Max 16xCPU 40xGPU / 64GB / 1T - Space Black Z1FU*, Silver Z1FS*</t>
  </si>
  <si>
    <t>Mac mini M4 Pro 14xCPU 20xGPU / 64GB / 1TB / 10 Gigabit Ethernet - Silver</t>
  </si>
  <si>
    <t>ORDER #</t>
  </si>
  <si>
    <t>EXW to ALP</t>
  </si>
  <si>
    <t>CPT to ALP</t>
  </si>
  <si>
    <t>VK extra \ BMLP-25-PI-382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</si>
</sst>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64" fontId="1" fillId="0" borderId="1" xfId="1" applyNumberFormat="1" applyFont="1" applyBorder="1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6108-F346-B049-B19E-1D237DB40265}">
  <dimension ref="A1:N9"/>
  <sheetViews>
    <sheetView tabSelected="1" topLeftCell="B1" zoomScale="120" zoomScaleNormal="120" workbookViewId="0">
      <selection activeCell="D5" sqref="D5"/>
    </sheetView>
  </sheetViews>
  <sheetFormatPr defaultColWidth="10.796875" defaultRowHeight="15.6" x14ac:dyDescent="0.3"/>
  <cols>
    <col min="1" max="1" width="10.796875" style="1"/>
    <col min="2" max="2" width="5.796875" style="1" customWidth="1"/>
    <col min="3" max="3" width="7.19921875" style="1" bestFit="1" customWidth="1"/>
    <col min="4" max="4" width="53.5" style="12" customWidth="1"/>
    <col min="5" max="5" width="4.5" style="1" bestFit="1" customWidth="1"/>
    <col min="6" max="6" width="5.19921875" style="1" bestFit="1" customWidth="1"/>
    <col min="7" max="7" width="12" style="1" bestFit="1" customWidth="1"/>
    <col min="8" max="8" width="6.19921875" style="1" bestFit="1" customWidth="1"/>
    <col min="9" max="9" width="12" style="1" bestFit="1" customWidth="1"/>
    <col min="10" max="10" width="10.296875" style="1" customWidth="1"/>
    <col min="11" max="11" width="11.5" style="1" bestFit="1" customWidth="1"/>
    <col min="12" max="16384" width="10.796875" style="1"/>
  </cols>
  <sheetData>
    <row r="1" spans="1:14" x14ac:dyDescent="0.3">
      <c r="B1" s="5" t="s">
        <v>22</v>
      </c>
      <c r="C1" s="3" t="s">
        <v>8</v>
      </c>
      <c r="D1" s="10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M1" s="7" t="s">
        <v>23</v>
      </c>
      <c r="N1" s="7" t="s">
        <v>24</v>
      </c>
    </row>
    <row r="2" spans="1:14" ht="46.8" x14ac:dyDescent="0.3">
      <c r="B2" s="2">
        <v>520</v>
      </c>
      <c r="C2" s="2" t="s">
        <v>0</v>
      </c>
      <c r="D2" s="11" t="s">
        <v>1</v>
      </c>
      <c r="E2" s="2">
        <v>73</v>
      </c>
      <c r="F2" s="2">
        <v>2899</v>
      </c>
      <c r="G2" s="4">
        <v>2449</v>
      </c>
      <c r="H2" s="2">
        <v>35.31</v>
      </c>
      <c r="I2" s="4">
        <f>H2+G2</f>
        <v>2484.31</v>
      </c>
      <c r="J2" s="6">
        <v>90</v>
      </c>
      <c r="K2" s="9">
        <f>J2*I2</f>
        <v>223587.9</v>
      </c>
      <c r="M2" s="8">
        <f>1-G2/F2</f>
        <v>0.15522593997930323</v>
      </c>
      <c r="N2" s="8">
        <f>1-I2/F2</f>
        <v>0.1430458778889272</v>
      </c>
    </row>
    <row r="3" spans="1:14" ht="31.2" x14ac:dyDescent="0.3">
      <c r="B3" s="2">
        <v>523</v>
      </c>
      <c r="C3" s="2" t="s">
        <v>2</v>
      </c>
      <c r="D3" s="11" t="s">
        <v>3</v>
      </c>
      <c r="E3" s="2">
        <v>50</v>
      </c>
      <c r="F3" s="2">
        <v>3099</v>
      </c>
      <c r="G3" s="4">
        <v>2618</v>
      </c>
      <c r="H3" s="2">
        <v>35.31</v>
      </c>
      <c r="I3" s="4">
        <f t="shared" ref="I3:I9" si="0">H3+G3</f>
        <v>2653.31</v>
      </c>
      <c r="J3" s="6">
        <v>90</v>
      </c>
      <c r="K3" s="9">
        <f t="shared" ref="K3:K9" si="1">J3*I3</f>
        <v>238797.9</v>
      </c>
      <c r="M3" s="8">
        <f t="shared" ref="M3:M9" si="2">1-G3/F3</f>
        <v>0.15521135850274281</v>
      </c>
      <c r="N3" s="8">
        <f t="shared" ref="N3:N9" si="3">1-I3/F3</f>
        <v>0.14381736043885129</v>
      </c>
    </row>
    <row r="4" spans="1:14" ht="46.8" x14ac:dyDescent="0.3">
      <c r="B4" s="2">
        <v>524</v>
      </c>
      <c r="C4" s="2" t="s">
        <v>4</v>
      </c>
      <c r="D4" s="11" t="s">
        <v>5</v>
      </c>
      <c r="E4" s="2">
        <v>6</v>
      </c>
      <c r="F4" s="2">
        <v>1399</v>
      </c>
      <c r="G4" s="4">
        <v>1175</v>
      </c>
      <c r="H4" s="2">
        <v>22.86</v>
      </c>
      <c r="I4" s="4">
        <f t="shared" si="0"/>
        <v>1197.8599999999999</v>
      </c>
      <c r="J4" s="6">
        <v>90</v>
      </c>
      <c r="K4" s="9">
        <f t="shared" si="1"/>
        <v>107807.4</v>
      </c>
      <c r="M4" s="8">
        <f t="shared" si="2"/>
        <v>0.1601143674052895</v>
      </c>
      <c r="N4" s="8">
        <f t="shared" si="3"/>
        <v>0.14377412437455328</v>
      </c>
    </row>
    <row r="5" spans="1:14" ht="31.2" x14ac:dyDescent="0.3">
      <c r="B5" s="2">
        <v>525</v>
      </c>
      <c r="C5" s="2" t="s">
        <v>6</v>
      </c>
      <c r="D5" s="11" t="s">
        <v>7</v>
      </c>
      <c r="E5" s="2">
        <v>16</v>
      </c>
      <c r="F5" s="2">
        <v>3999</v>
      </c>
      <c r="G5" s="4">
        <v>3631</v>
      </c>
      <c r="H5" s="2">
        <v>33.9</v>
      </c>
      <c r="I5" s="4">
        <f t="shared" si="0"/>
        <v>3664.9</v>
      </c>
      <c r="J5" s="6">
        <v>90</v>
      </c>
      <c r="K5" s="9">
        <f t="shared" si="1"/>
        <v>329841</v>
      </c>
      <c r="M5" s="8">
        <f t="shared" si="2"/>
        <v>9.2023005751437847E-2</v>
      </c>
      <c r="N5" s="8">
        <f t="shared" si="3"/>
        <v>8.354588647161787E-2</v>
      </c>
    </row>
    <row r="6" spans="1:14" ht="46.8" x14ac:dyDescent="0.3">
      <c r="A6" s="1" t="s">
        <v>25</v>
      </c>
      <c r="B6" s="2">
        <v>526</v>
      </c>
      <c r="C6" s="2" t="s">
        <v>17</v>
      </c>
      <c r="D6" s="11" t="s">
        <v>18</v>
      </c>
      <c r="E6" s="2">
        <v>20</v>
      </c>
      <c r="F6" s="2">
        <v>2499</v>
      </c>
      <c r="G6" s="6">
        <v>2111</v>
      </c>
      <c r="H6" s="2">
        <v>35.31</v>
      </c>
      <c r="I6" s="4">
        <f t="shared" si="0"/>
        <v>2146.31</v>
      </c>
      <c r="J6" s="6">
        <v>90</v>
      </c>
      <c r="K6" s="9">
        <f t="shared" si="1"/>
        <v>193167.9</v>
      </c>
      <c r="M6" s="8">
        <f t="shared" si="2"/>
        <v>0.15526210484193681</v>
      </c>
      <c r="N6" s="8">
        <f t="shared" si="3"/>
        <v>0.14113245298119248</v>
      </c>
    </row>
    <row r="7" spans="1:14" ht="46.8" x14ac:dyDescent="0.3">
      <c r="A7" s="1" t="s">
        <v>25</v>
      </c>
      <c r="B7" s="2">
        <v>527</v>
      </c>
      <c r="C7" s="2" t="s">
        <v>2</v>
      </c>
      <c r="D7" s="11" t="s">
        <v>19</v>
      </c>
      <c r="E7" s="2">
        <v>7</v>
      </c>
      <c r="F7" s="2">
        <v>3899</v>
      </c>
      <c r="G7" s="6">
        <v>3293</v>
      </c>
      <c r="H7" s="2">
        <v>29.56</v>
      </c>
      <c r="I7" s="4">
        <f t="shared" si="0"/>
        <v>3322.56</v>
      </c>
      <c r="J7" s="6">
        <v>90</v>
      </c>
      <c r="K7" s="9">
        <f t="shared" si="1"/>
        <v>299030.40000000002</v>
      </c>
      <c r="M7" s="8">
        <f t="shared" si="2"/>
        <v>0.1554244678122596</v>
      </c>
      <c r="N7" s="8">
        <f t="shared" si="3"/>
        <v>0.14784303667607079</v>
      </c>
    </row>
    <row r="8" spans="1:14" ht="46.8" x14ac:dyDescent="0.3">
      <c r="A8" s="1" t="s">
        <v>25</v>
      </c>
      <c r="B8" s="2">
        <v>528</v>
      </c>
      <c r="C8" s="2" t="s">
        <v>2</v>
      </c>
      <c r="D8" s="11" t="s">
        <v>20</v>
      </c>
      <c r="E8" s="2">
        <v>10</v>
      </c>
      <c r="F8" s="2">
        <v>4199</v>
      </c>
      <c r="G8" s="6">
        <v>3546</v>
      </c>
      <c r="H8" s="2">
        <v>35.31</v>
      </c>
      <c r="I8" s="4">
        <f t="shared" si="0"/>
        <v>3581.31</v>
      </c>
      <c r="J8" s="6">
        <v>90</v>
      </c>
      <c r="K8" s="9">
        <f t="shared" si="1"/>
        <v>322317.90000000002</v>
      </c>
      <c r="M8" s="8">
        <f t="shared" si="2"/>
        <v>0.15551321743272206</v>
      </c>
      <c r="N8" s="8">
        <f t="shared" si="3"/>
        <v>0.14710407239819001</v>
      </c>
    </row>
    <row r="9" spans="1:14" ht="31.2" x14ac:dyDescent="0.3">
      <c r="B9" s="2">
        <v>529</v>
      </c>
      <c r="C9" s="2" t="s">
        <v>2</v>
      </c>
      <c r="D9" s="11" t="s">
        <v>21</v>
      </c>
      <c r="E9" s="2">
        <v>3</v>
      </c>
      <c r="F9" s="2">
        <v>2499</v>
      </c>
      <c r="G9" s="2">
        <v>2195</v>
      </c>
      <c r="H9" s="2">
        <v>19.71</v>
      </c>
      <c r="I9" s="4">
        <f t="shared" si="0"/>
        <v>2214.71</v>
      </c>
      <c r="J9" s="6">
        <v>90</v>
      </c>
      <c r="K9" s="9">
        <f t="shared" si="1"/>
        <v>199323.9</v>
      </c>
      <c r="M9" s="8">
        <f t="shared" si="2"/>
        <v>0.12164865946378556</v>
      </c>
      <c r="N9" s="8">
        <f t="shared" si="3"/>
        <v>0.11376150460184076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Katkov</dc:creator>
  <cp:lastModifiedBy>Admin</cp:lastModifiedBy>
  <dcterms:created xsi:type="dcterms:W3CDTF">2025-12-29T22:59:44Z</dcterms:created>
  <dcterms:modified xsi:type="dcterms:W3CDTF">2026-01-02T12:27:53Z</dcterms:modified>
</cp:coreProperties>
</file>